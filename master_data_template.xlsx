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13_ncr:1_{A501DF8A-8780-455E-A160-678AE29AF4DA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Papers Master List" sheetId="1" r:id="rId1"/>
    <sheet name="Data Dictionary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J1" i="1"/>
</calcChain>
</file>

<file path=xl/sharedStrings.xml><?xml version="1.0" encoding="utf-8"?>
<sst xmlns="http://schemas.openxmlformats.org/spreadsheetml/2006/main" count="347" uniqueCount="228">
  <si>
    <t>paper_id</t>
  </si>
  <si>
    <t>title</t>
  </si>
  <si>
    <t>authors</t>
  </si>
  <si>
    <t>year</t>
  </si>
  <si>
    <t>journal</t>
  </si>
  <si>
    <t>DOI</t>
  </si>
  <si>
    <t>pollutant(s)_studied</t>
  </si>
  <si>
    <t>included (Y/N)</t>
  </si>
  <si>
    <t>exclusion_reason</t>
  </si>
  <si>
    <t>pdf_filename</t>
  </si>
  <si>
    <t>Papers included:</t>
  </si>
  <si>
    <t>P001</t>
  </si>
  <si>
    <t>Y</t>
  </si>
  <si>
    <t>Papers excluded:</t>
  </si>
  <si>
    <t>pollutant</t>
  </si>
  <si>
    <t>AC_precursor</t>
  </si>
  <si>
    <t>BET_m2g</t>
  </si>
  <si>
    <t>pore_vol_cm3g</t>
  </si>
  <si>
    <t>pH_pzc</t>
  </si>
  <si>
    <t>C0_mgL</t>
  </si>
  <si>
    <t>pH</t>
  </si>
  <si>
    <t>dose_gL</t>
  </si>
  <si>
    <t>contact_time_min</t>
  </si>
  <si>
    <t>temp_K</t>
  </si>
  <si>
    <t>Ce_mgL</t>
  </si>
  <si>
    <t>qe_mgg</t>
  </si>
  <si>
    <t>data_source</t>
  </si>
  <si>
    <t>notes</t>
  </si>
  <si>
    <t>column_name</t>
  </si>
  <si>
    <t>tab</t>
  </si>
  <si>
    <t>unit</t>
  </si>
  <si>
    <t>description</t>
  </si>
  <si>
    <t>source_notes</t>
  </si>
  <si>
    <t>Papers Master List / Data</t>
  </si>
  <si>
    <t>-</t>
  </si>
  <si>
    <t>Unique ID linking a data row to its source paper</t>
  </si>
  <si>
    <t>Assign sequentially: P001, P002, ...</t>
  </si>
  <si>
    <t>Papers Master List</t>
  </si>
  <si>
    <t>Paper title</t>
  </si>
  <si>
    <t>Author list, semicolon-separated</t>
  </si>
  <si>
    <t>Publication year</t>
  </si>
  <si>
    <t>Journal name</t>
  </si>
  <si>
    <t>Digital Object Identifier</t>
  </si>
  <si>
    <t>Which of Pb/Cd/MB/Congo Red this paper covers</t>
  </si>
  <si>
    <t>Whether data was extracted from this paper</t>
  </si>
  <si>
    <t>Dropdown</t>
  </si>
  <si>
    <t>One-line reason if excluded</t>
  </si>
  <si>
    <t>e.g., 'no BET reported', 'graph not digitizable'</t>
  </si>
  <si>
    <t>Filename in references/ folder</t>
  </si>
  <si>
    <t>Must match paper_id prefix</t>
  </si>
  <si>
    <t>Data</t>
  </si>
  <si>
    <t>Pb / Cd / MB / Congo Red for this row</t>
  </si>
  <si>
    <t>Raw material / activation method of the AC</t>
  </si>
  <si>
    <t>lowercase, consistent naming</t>
  </si>
  <si>
    <t>m2/g</t>
  </si>
  <si>
    <t>BET specific surface area</t>
  </si>
  <si>
    <t>Core AC property — no imputation if missing</t>
  </si>
  <si>
    <t>cm3/g</t>
  </si>
  <si>
    <t>Total pore volume</t>
  </si>
  <si>
    <t>Point of zero charge</t>
  </si>
  <si>
    <t>C_pct/H_pct/O_pct/N_pct</t>
  </si>
  <si>
    <t>%</t>
  </si>
  <si>
    <t>Elemental composition (CHNS/EDX)</t>
  </si>
  <si>
    <t>Secondary — some leniency if paper is otherwise strong</t>
  </si>
  <si>
    <t>mg/L</t>
  </si>
  <si>
    <t>Initial pollutant concentration</t>
  </si>
  <si>
    <t>Solution pH during experiment</t>
  </si>
  <si>
    <t>g/L</t>
  </si>
  <si>
    <t>Adsorbent dose</t>
  </si>
  <si>
    <t>min</t>
  </si>
  <si>
    <t>Contact/equilibration time</t>
  </si>
  <si>
    <t>K</t>
  </si>
  <si>
    <t>Temperature</t>
  </si>
  <si>
    <t>Convert from °C: K = °C + 273.15</t>
  </si>
  <si>
    <t>Equilibrium concentration</t>
  </si>
  <si>
    <t>Isotherm-fitting only — EXCLUDE from ML features</t>
  </si>
  <si>
    <t>mg/g</t>
  </si>
  <si>
    <t>Equilibrium adsorption capacity (target variable)</t>
  </si>
  <si>
    <t>table / graph / text / calculated</t>
  </si>
  <si>
    <t>Dropdown — flags digitized values for QC</t>
  </si>
  <si>
    <t>Free-text notes (e.g., which series/run this row belongs to)</t>
  </si>
  <si>
    <t>Kinetics, equilibrium, and thermodynamics investigation on the adsorption of lead(II) by coal-based activated carbon</t>
  </si>
  <si>
    <t>Yi, Yao, Zhu, Chen, Wang, Liu</t>
  </si>
  <si>
    <t>SpringerPlus</t>
  </si>
  <si>
    <t>Pb(II)</t>
  </si>
  <si>
    <t>—</t>
  </si>
  <si>
    <t>P002</t>
  </si>
  <si>
    <t>Batch and fixed bed adsorption of Pb(II) from aqueous solution using EDTA modified activated carbon derived from palm kernel shell</t>
  </si>
  <si>
    <t>Pam, Abdullah, Tan, Zainal</t>
  </si>
  <si>
    <t>BioResources</t>
  </si>
  <si>
    <t>P003</t>
  </si>
  <si>
    <t>Efficient Adsorption of Lead (II) from Aqueous Phase Solutions Using Polypyrrole-Based Activated Carbon</t>
  </si>
  <si>
    <t>Alghamdi, Al-Odayni, Sharaf Saeed, Al-Kahtani, Alharthi, Aouak</t>
  </si>
  <si>
    <t>Materials (MDPI)</t>
  </si>
  <si>
    <t>N</t>
  </si>
  <si>
    <t>P004</t>
  </si>
  <si>
    <t>Efficacious Sorption Capacities for Pb(II) from Contaminated Water: A Comparative Study Using Biowaste and Its Activated Carbon as Potential Adsorbents</t>
  </si>
  <si>
    <t>Devi, Goswami, Rabha, Kalita, Sarma, Devi</t>
  </si>
  <si>
    <t>ACS Omega</t>
  </si>
  <si>
    <t>P005</t>
  </si>
  <si>
    <t>Facile preparation of amine-functionalized corn husk derived activated carbon for effective removal of selected heavy metals from battery recycling wastewater</t>
  </si>
  <si>
    <t>Ismail, Yahya, Auta, Obayomi</t>
  </si>
  <si>
    <t>Heliyon</t>
  </si>
  <si>
    <t>Pb(II), Cu(II), Ni(II)</t>
  </si>
  <si>
    <t>P006</t>
  </si>
  <si>
    <t>P007</t>
  </si>
  <si>
    <t>P008</t>
  </si>
  <si>
    <t>P009</t>
  </si>
  <si>
    <t>P010</t>
  </si>
  <si>
    <t>Equilibrium, Kinetic, and Diffusion Mechanism of lead(II) and cadmium(II) Adsorption onto Commercial Activated Carbons</t>
  </si>
  <si>
    <t>Lach, Okoniewska</t>
  </si>
  <si>
    <t>Molecules</t>
  </si>
  <si>
    <t>Pb(II), Cd(II)</t>
  </si>
  <si>
    <t>Adsorption of Pb2+ by Activated Carbon Produced by Microwave-Assisted K2CO3 Activation of Date Palm Leaf Sheath Fibres</t>
  </si>
  <si>
    <t>Aloud, Hameed, Yusop, Alharbi, Giesy, Alotaibi</t>
  </si>
  <si>
    <t>Water (MDPI)</t>
  </si>
  <si>
    <t>Kinetics and Thermodynamics of Pb(II), Zn(II), and Cd(II) Adsorption from Aqueous Solutions onto Activated Biochar Obtained from Tobacco Waste</t>
  </si>
  <si>
    <t>Jabłońska, Jabłoński, Gęga</t>
  </si>
  <si>
    <t>Pb(II), Zn(II), Cd(II)</t>
  </si>
  <si>
    <t>Enhanced Adsorption of Pb(II) and Cd(II) by Activated Carbon Derived from Peach Stones for Efficient Water Decontamination</t>
  </si>
  <si>
    <t>Cameu, Almeida, Oliveira, Igansi, Jaeschke, Silveira, Paes, Dias, Pinto, Cadaval</t>
  </si>
  <si>
    <t>Processes (MDPI)</t>
  </si>
  <si>
    <t>Adsorption of Lead (Pb(II)) from Contaminated Water onto Activated Carbon: Kinetics, Isotherms, Thermodynamics, and Modeling by Artificial Intelligence</t>
  </si>
  <si>
    <t>Abd El-wahaab, El-Shwiniy, Alrowais, Nasef, Said</t>
  </si>
  <si>
    <t>Sustainability (MDPI)</t>
  </si>
  <si>
    <t>P011</t>
  </si>
  <si>
    <t>Recycling of Sewage Sludge: Synthesis and Application of Sludge-Based Activated Carbon in the Efficient Removal of Cadmium (II) and Lead (II) from Wastewater</t>
  </si>
  <si>
    <t>Aljubiri, Younes, Alosaimi, Abdel Daiem, Abdel-Salam, El-Shwiniy</t>
  </si>
  <si>
    <t>Int. J. Mol. Sci. (MDPI)</t>
  </si>
  <si>
    <t>Cd(II), Pb(II)</t>
  </si>
  <si>
    <t>P012</t>
  </si>
  <si>
    <t>Adsorption of cadmium(II) in wastewater by magnesium oxide modified biochar</t>
  </si>
  <si>
    <t>Xu, Xia, Zhang, Jiang, Cai, Hu</t>
  </si>
  <si>
    <t>Arabian Journal of Chemistry</t>
  </si>
  <si>
    <t>Cd(II)</t>
  </si>
  <si>
    <t>P013</t>
  </si>
  <si>
    <t>Adsorption Kinetics of Cadmium and Lead by Biochars in Single- and Bisolute Brackish Water Systems</t>
  </si>
  <si>
    <t>Rafiq, Wongrod, Vinitnantharat</t>
  </si>
  <si>
    <t>P014</t>
  </si>
  <si>
    <t>Adsorption of Cd (II) on Modified Granular Activated Carbons: Isotherm and Column Study</t>
  </si>
  <si>
    <t>(PMC6149846)</t>
  </si>
  <si>
    <t>P015</t>
  </si>
  <si>
    <t>Adsorptive removal of cadmium (II) from wastewater using activated carbon synthesized from stem of Khat (Catha edulis)</t>
  </si>
  <si>
    <t>P016</t>
  </si>
  <si>
    <t>Surface chemistry and adsorption mechanism of cadmium ion on activated carbon derived from Garcinia mangostana shell</t>
  </si>
  <si>
    <t>Korean Journal of Chemical Engineering</t>
  </si>
  <si>
    <t>P017</t>
  </si>
  <si>
    <t>Statistical analyses on effective removal of cadmium and hexavalent chromium ions by multiwall carbon nanotubes (MWCNTs)</t>
  </si>
  <si>
    <t>(PMC7287254)</t>
  </si>
  <si>
    <t>Cd(II), Cr(VI)</t>
  </si>
  <si>
    <t>P018</t>
  </si>
  <si>
    <t>Adsorption of cadmium from wastewater with activated carbons derived from pig fur biowaste: A comparative study of in-situ and ex-situ activation routes</t>
  </si>
  <si>
    <t>Orugba, Sinebe, Chukwuneke, Okoro, Enyi, Ani</t>
  </si>
  <si>
    <t>P019</t>
  </si>
  <si>
    <t>Cd(II) adsorption from aqueous solution using pristine and activated Melocanna baccifera biochar: isotherm and kinetics studies</t>
  </si>
  <si>
    <t>Lalchawiliana, Laltlankimi Khiangte, Tongbram Punshi Singh, Lalremruata Hauhnar</t>
  </si>
  <si>
    <t>Frontiers in Carbon</t>
  </si>
  <si>
    <t>Dyes Papers</t>
  </si>
  <si>
    <t>P020</t>
  </si>
  <si>
    <t>Comparative adsorption isotherms and modeling of methylene blue onto activated carbons</t>
  </si>
  <si>
    <t>Belhachemi, Addoun</t>
  </si>
  <si>
    <t>Applied Water Science</t>
  </si>
  <si>
    <t>MB</t>
  </si>
  <si>
    <t>P021</t>
  </si>
  <si>
    <t>Experimental Design, Equilibrium Modeling and Kinetic Studies on the Adsorption of Methylene Blue by Adsorbent: Activated Carbon from Durian Shell Waste</t>
  </si>
  <si>
    <t>Tran, Ðo, Ha, Duong, Chu, Vu, Chau, Tran, Song</t>
  </si>
  <si>
    <t>P022</t>
  </si>
  <si>
    <t>Assessment of the Porous Structure and Surface Chemistry of Activated Biocarbons Used for Methylene Blue Adsorption</t>
  </si>
  <si>
    <t>Charmas, Ziezio, Jedynak</t>
  </si>
  <si>
    <t>P023</t>
  </si>
  <si>
    <t>Adsorption of methylene blue onto activated carbon produced from tea (Camellia sinensis L.) seed shells: kinetics, equilibrium, and thermodynamics studies</t>
  </si>
  <si>
    <t>(PMC3709070)</t>
  </si>
  <si>
    <t>P024</t>
  </si>
  <si>
    <t>Methylene blue adsorption mechanism of activated carbon synthesised from cashew nut shells</t>
  </si>
  <si>
    <t>(PMC9037662)</t>
  </si>
  <si>
    <t>P025</t>
  </si>
  <si>
    <t>The Use of High Surface Area Mesoporous-Activated Carbon from Longan Seed Biomass for Increasing Capacity and Kinetics of Methylene Blue Adsorption</t>
  </si>
  <si>
    <t>(PMC8587158)</t>
  </si>
  <si>
    <t>P026</t>
  </si>
  <si>
    <t>Synthesis and characterization of modified activated carbon (MgO/AC) for methylene blue adsorption</t>
  </si>
  <si>
    <t>Water Science &amp; Technology (IWA)</t>
  </si>
  <si>
    <t>P027</t>
  </si>
  <si>
    <t>Kinetic and Thermodynamic Study of Methylene Blue Adsorption onto Activated Carbon Obtained from the Peel of musa paradisiaca</t>
  </si>
  <si>
    <t>Vallejo, Diaz-Uribe, Duran, Vargas-Delgadillo, Barbosa</t>
  </si>
  <si>
    <t>Sci (MDPI)</t>
  </si>
  <si>
    <t>P028</t>
  </si>
  <si>
    <t>Adsorption of methylene blue onto activated carbon produced from tea (Camellia sinensis L.) seed shells</t>
  </si>
  <si>
    <t>P029</t>
  </si>
  <si>
    <t>Adsorption of phenol and methylene blue contaminants onto high-performance catalytic activated carbon from biomass residues</t>
  </si>
  <si>
    <t>2025 (collection date)</t>
  </si>
  <si>
    <t>(PMC11721239)</t>
  </si>
  <si>
    <t>MB (binary system with phenol)</t>
  </si>
  <si>
    <t>P030</t>
  </si>
  <si>
    <t>Experiments and physical investigation on the adsorption of methylene [blue] on activated carbon</t>
  </si>
  <si>
    <t>(PMC12749830)</t>
  </si>
  <si>
    <t>P031</t>
  </si>
  <si>
    <t>Adsorption of Methylene Blue on Activated Carbon Surfaces Obtained by Shock Compression of Graphite Using Reactive Molecular Dynamics</t>
  </si>
  <si>
    <t>(PMC11679267, MDPI)</t>
  </si>
  <si>
    <t>P032</t>
  </si>
  <si>
    <t>Kinetics and Thermodynamics Study of Methylene Blue Adsorption to Sucrose- and Urea-Derived Nitrogen-Enriched, Hierarchically Porous Carbon Activated by KOH and H3PO4</t>
  </si>
  <si>
    <t>P033</t>
  </si>
  <si>
    <t>Kinetic and Thermodynamic Studies of Methylene Blue Adsorption on Biomass-Derived Biocarbon Materials</t>
  </si>
  <si>
    <t>(PMC12985126)</t>
  </si>
  <si>
    <t>P034</t>
  </si>
  <si>
    <t>Efficient adsorptive removal of Congo Red dye using activated carbon derived from Spathodea campanulata flowers</t>
  </si>
  <si>
    <t>Sudarsan, Murugesan, Varadavenkatesan, Vinayagam, Selvaraj</t>
  </si>
  <si>
    <t>Scientific Reports</t>
  </si>
  <si>
    <t>CR</t>
  </si>
  <si>
    <t>P035</t>
  </si>
  <si>
    <t>Twigs-derived activated carbons via H3PO4/ZnCl2 composite activation for methylene blue and congo red dyes removal</t>
  </si>
  <si>
    <t>Zubir, Zaini</t>
  </si>
  <si>
    <t>CR, MB</t>
  </si>
  <si>
    <t>P036</t>
  </si>
  <si>
    <t>Efficient Removal of Congo Red from Wastewater Using Date-Pit Activated Carbon</t>
  </si>
  <si>
    <t>Fibers and Polymers (Springer)</t>
  </si>
  <si>
    <t>P037</t>
  </si>
  <si>
    <t>Adsorption characteristics of Congo Red on coal-based mesoporous activated carbon</t>
  </si>
  <si>
    <t>Adsorption Science &amp; Technology (ScienceDirect)</t>
  </si>
  <si>
    <t>P038</t>
  </si>
  <si>
    <t>Adsorption of congo red on mesoporous activated carbon prepared by CO2 physical activation</t>
  </si>
  <si>
    <t>Chinese Journal of Chemical Engineering (ScienceDirect)</t>
  </si>
  <si>
    <t>CR (also Amido Black 10B)</t>
  </si>
  <si>
    <t>P039</t>
  </si>
  <si>
    <t>Adsorption enhancement of Congo red dye from wastewater based on edamame shell originated activated carbon by the cations</t>
  </si>
  <si>
    <t>Diamond and Related Materials (ScienceDirect)</t>
  </si>
  <si>
    <t xml:space="preserve">N </t>
  </si>
  <si>
    <t>(journal  — PMC-hosted)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</si>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</sst>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2F5496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3" borderId="0" xfId="0" applyFill="1"/>
    <xf numFmtId="0" fontId="8" fillId="3" borderId="0" xfId="0" applyFont="1" applyFill="1"/>
    <xf numFmtId="0" fontId="0" fillId="4" borderId="0" xfId="0" applyFill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zoomScale="70" zoomScaleNormal="70" workbookViewId="0">
      <pane ySplit="1" topLeftCell="A17" activePane="bottomLeft" state="frozen"/>
      <selection pane="bottomLeft" activeCell="I11" sqref="I11"/>
    </sheetView>
  </sheetViews>
  <sheetFormatPr defaultColWidth="8.6640625" defaultRowHeight="14.4" x14ac:dyDescent="0.3"/>
  <cols>
    <col min="1" max="1" width="9" customWidth="1"/>
    <col min="2" max="2" width="158.5546875" bestFit="1" customWidth="1"/>
    <col min="3" max="3" width="22" customWidth="1"/>
    <col min="4" max="4" width="20.109375" bestFit="1" customWidth="1"/>
    <col min="5" max="5" width="20" customWidth="1"/>
    <col min="6" max="6" width="16" customWidth="1"/>
    <col min="7" max="7" width="12" customWidth="1"/>
    <col min="9" max="9" width="16.21875" bestFit="1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2" t="s">
        <v>10</v>
      </c>
      <c r="J1" s="3">
        <f>COUNTIF(G2:G499,"Y")</f>
        <v>32</v>
      </c>
    </row>
    <row r="2" spans="1:10" ht="43.2" x14ac:dyDescent="0.3">
      <c r="A2" s="5" t="s">
        <v>11</v>
      </c>
      <c r="B2" s="5" t="s">
        <v>81</v>
      </c>
      <c r="C2" s="5" t="s">
        <v>82</v>
      </c>
      <c r="D2" s="5">
        <v>2016</v>
      </c>
      <c r="E2" s="5" t="s">
        <v>83</v>
      </c>
      <c r="F2" s="5" t="s">
        <v>84</v>
      </c>
      <c r="G2" s="5" t="s">
        <v>12</v>
      </c>
      <c r="I2" s="2" t="s">
        <v>13</v>
      </c>
      <c r="J2" s="3">
        <f>COUNTIF(G2:G499,"N")</f>
        <v>5</v>
      </c>
    </row>
    <row r="3" spans="1:10" ht="57.6" x14ac:dyDescent="0.3">
      <c r="A3" s="5" t="s">
        <v>86</v>
      </c>
      <c r="B3" s="5" t="s">
        <v>87</v>
      </c>
      <c r="C3" s="5" t="s">
        <v>88</v>
      </c>
      <c r="D3" s="5">
        <v>2018</v>
      </c>
      <c r="E3" s="5" t="s">
        <v>89</v>
      </c>
      <c r="F3" s="5" t="s">
        <v>84</v>
      </c>
      <c r="G3" s="5" t="s">
        <v>94</v>
      </c>
    </row>
    <row r="4" spans="1:10" ht="43.2" x14ac:dyDescent="0.3">
      <c r="A4" s="5" t="s">
        <v>90</v>
      </c>
      <c r="B4" s="5" t="s">
        <v>91</v>
      </c>
      <c r="C4" s="5" t="s">
        <v>92</v>
      </c>
      <c r="D4" s="5">
        <v>2019</v>
      </c>
      <c r="E4" s="5" t="s">
        <v>93</v>
      </c>
      <c r="F4" s="5" t="s">
        <v>84</v>
      </c>
      <c r="G4" s="5" t="s">
        <v>12</v>
      </c>
    </row>
    <row r="5" spans="1:10" ht="57.6" x14ac:dyDescent="0.3">
      <c r="A5" s="5" t="s">
        <v>95</v>
      </c>
      <c r="B5" s="5" t="s">
        <v>96</v>
      </c>
      <c r="C5" s="5" t="s">
        <v>97</v>
      </c>
      <c r="D5" s="5">
        <v>2023</v>
      </c>
      <c r="E5" s="5" t="s">
        <v>98</v>
      </c>
      <c r="F5" s="5" t="s">
        <v>84</v>
      </c>
      <c r="G5" s="5" t="s">
        <v>94</v>
      </c>
    </row>
    <row r="6" spans="1:10" ht="57.6" x14ac:dyDescent="0.3">
      <c r="A6" s="5" t="s">
        <v>99</v>
      </c>
      <c r="B6" s="5" t="s">
        <v>100</v>
      </c>
      <c r="C6" s="5" t="s">
        <v>101</v>
      </c>
      <c r="D6" s="5">
        <v>2022</v>
      </c>
      <c r="E6" s="5" t="s">
        <v>102</v>
      </c>
      <c r="F6" s="5" t="s">
        <v>103</v>
      </c>
      <c r="G6" s="5" t="s">
        <v>94</v>
      </c>
    </row>
    <row r="7" spans="1:10" ht="57.6" x14ac:dyDescent="0.3">
      <c r="A7" s="5" t="s">
        <v>104</v>
      </c>
      <c r="B7" s="5" t="s">
        <v>109</v>
      </c>
      <c r="C7" s="5" t="s">
        <v>110</v>
      </c>
      <c r="D7" s="5">
        <v>2024</v>
      </c>
      <c r="E7" s="5" t="s">
        <v>111</v>
      </c>
      <c r="F7" s="5" t="s">
        <v>112</v>
      </c>
      <c r="G7" s="5" t="s">
        <v>12</v>
      </c>
    </row>
    <row r="8" spans="1:10" ht="43.2" x14ac:dyDescent="0.3">
      <c r="A8" s="5" t="s">
        <v>105</v>
      </c>
      <c r="B8" s="5" t="s">
        <v>113</v>
      </c>
      <c r="C8" s="5" t="s">
        <v>114</v>
      </c>
      <c r="D8" s="5">
        <v>2023</v>
      </c>
      <c r="E8" s="5" t="s">
        <v>115</v>
      </c>
      <c r="F8" s="5" t="s">
        <v>84</v>
      </c>
      <c r="G8" s="5" t="s">
        <v>12</v>
      </c>
    </row>
    <row r="9" spans="1:10" ht="57.6" x14ac:dyDescent="0.3">
      <c r="A9" s="5" t="s">
        <v>106</v>
      </c>
      <c r="B9" s="5" t="s">
        <v>116</v>
      </c>
      <c r="C9" s="5" t="s">
        <v>117</v>
      </c>
      <c r="D9" s="5">
        <v>2025</v>
      </c>
      <c r="E9" s="5" t="s">
        <v>93</v>
      </c>
      <c r="F9" s="5" t="s">
        <v>118</v>
      </c>
      <c r="G9" s="5" t="s">
        <v>12</v>
      </c>
    </row>
    <row r="10" spans="1:10" ht="43.2" x14ac:dyDescent="0.3">
      <c r="A10" s="5" t="s">
        <v>107</v>
      </c>
      <c r="B10" s="5" t="s">
        <v>119</v>
      </c>
      <c r="C10" s="5" t="s">
        <v>120</v>
      </c>
      <c r="D10" s="5">
        <v>2025</v>
      </c>
      <c r="E10" s="5" t="s">
        <v>121</v>
      </c>
      <c r="F10" s="5" t="s">
        <v>112</v>
      </c>
      <c r="G10" s="5" t="s">
        <v>12</v>
      </c>
    </row>
    <row r="11" spans="1:10" ht="72" x14ac:dyDescent="0.3">
      <c r="A11" s="5" t="s">
        <v>108</v>
      </c>
      <c r="B11" s="5" t="s">
        <v>122</v>
      </c>
      <c r="C11" s="5" t="s">
        <v>123</v>
      </c>
      <c r="D11" s="5">
        <v>2025</v>
      </c>
      <c r="E11" s="5" t="s">
        <v>124</v>
      </c>
      <c r="F11" s="5" t="s">
        <v>84</v>
      </c>
      <c r="G11" s="5" t="s">
        <v>12</v>
      </c>
    </row>
    <row r="12" spans="1:10" ht="57.6" x14ac:dyDescent="0.3">
      <c r="A12" s="5" t="s">
        <v>125</v>
      </c>
      <c r="B12" s="5" t="s">
        <v>126</v>
      </c>
      <c r="C12" s="5" t="s">
        <v>127</v>
      </c>
      <c r="D12" s="5">
        <v>2024</v>
      </c>
      <c r="E12" s="5" t="s">
        <v>128</v>
      </c>
      <c r="F12" s="5" t="s">
        <v>129</v>
      </c>
      <c r="G12" s="5" t="s">
        <v>12</v>
      </c>
    </row>
    <row r="13" spans="1:10" ht="28.8" x14ac:dyDescent="0.3">
      <c r="A13" s="5" t="s">
        <v>130</v>
      </c>
      <c r="B13" s="5" t="s">
        <v>131</v>
      </c>
      <c r="C13" s="5" t="s">
        <v>132</v>
      </c>
      <c r="D13" s="5">
        <v>2022</v>
      </c>
      <c r="E13" s="5" t="s">
        <v>133</v>
      </c>
      <c r="F13" s="5" t="s">
        <v>134</v>
      </c>
      <c r="G13" s="5" t="s">
        <v>12</v>
      </c>
    </row>
    <row r="14" spans="1:10" ht="43.2" x14ac:dyDescent="0.3">
      <c r="A14" s="5" t="s">
        <v>135</v>
      </c>
      <c r="B14" s="5" t="s">
        <v>136</v>
      </c>
      <c r="C14" s="5" t="s">
        <v>137</v>
      </c>
      <c r="D14" s="5">
        <v>2023</v>
      </c>
      <c r="E14" s="5" t="s">
        <v>98</v>
      </c>
      <c r="F14" s="5" t="s">
        <v>129</v>
      </c>
      <c r="G14" s="5" t="s">
        <v>12</v>
      </c>
    </row>
    <row r="15" spans="1:10" x14ac:dyDescent="0.3">
      <c r="A15" s="5" t="s">
        <v>138</v>
      </c>
      <c r="B15" s="5" t="s">
        <v>139</v>
      </c>
      <c r="C15" s="5"/>
      <c r="D15" s="5" t="s">
        <v>85</v>
      </c>
      <c r="E15" s="5" t="s">
        <v>140</v>
      </c>
      <c r="F15" s="5" t="s">
        <v>134</v>
      </c>
      <c r="G15" s="5" t="s">
        <v>12</v>
      </c>
    </row>
    <row r="16" spans="1:10" x14ac:dyDescent="0.3">
      <c r="A16" t="s">
        <v>141</v>
      </c>
      <c r="B16" t="s">
        <v>142</v>
      </c>
      <c r="D16">
        <v>2024</v>
      </c>
      <c r="E16" t="s">
        <v>226</v>
      </c>
      <c r="F16" t="s">
        <v>134</v>
      </c>
      <c r="G16" t="s">
        <v>225</v>
      </c>
    </row>
    <row r="17" spans="1:7" x14ac:dyDescent="0.3">
      <c r="A17" t="s">
        <v>143</v>
      </c>
      <c r="B17" t="s">
        <v>144</v>
      </c>
      <c r="D17">
        <v>2013</v>
      </c>
      <c r="E17" t="s">
        <v>145</v>
      </c>
      <c r="F17" t="s">
        <v>134</v>
      </c>
      <c r="G17" t="s">
        <v>12</v>
      </c>
    </row>
    <row r="18" spans="1:7" x14ac:dyDescent="0.3">
      <c r="A18" t="s">
        <v>146</v>
      </c>
      <c r="B18" t="s">
        <v>147</v>
      </c>
      <c r="E18" t="s">
        <v>148</v>
      </c>
      <c r="F18" t="s">
        <v>149</v>
      </c>
      <c r="G18" t="s">
        <v>94</v>
      </c>
    </row>
    <row r="19" spans="1:7" x14ac:dyDescent="0.3">
      <c r="A19" t="s">
        <v>150</v>
      </c>
      <c r="B19" t="s">
        <v>151</v>
      </c>
      <c r="C19" t="s">
        <v>152</v>
      </c>
      <c r="D19">
        <v>2024</v>
      </c>
      <c r="E19" t="s">
        <v>102</v>
      </c>
      <c r="F19" t="s">
        <v>134</v>
      </c>
      <c r="G19" t="s">
        <v>225</v>
      </c>
    </row>
    <row r="20" spans="1:7" s="6" customFormat="1" ht="30" customHeight="1" x14ac:dyDescent="0.3">
      <c r="A20" s="7" t="s">
        <v>153</v>
      </c>
      <c r="B20" s="7" t="s">
        <v>154</v>
      </c>
      <c r="C20" s="7" t="s">
        <v>155</v>
      </c>
      <c r="D20" s="7">
        <v>2026</v>
      </c>
      <c r="E20" s="7" t="s">
        <v>156</v>
      </c>
      <c r="F20" s="7" t="s">
        <v>134</v>
      </c>
      <c r="G20" s="11" t="s">
        <v>12</v>
      </c>
    </row>
    <row r="21" spans="1:7" s="8" customFormat="1" ht="25.8" x14ac:dyDescent="0.5">
      <c r="B21" s="9" t="s">
        <v>157</v>
      </c>
    </row>
    <row r="22" spans="1:7" ht="25.2" customHeight="1" x14ac:dyDescent="0.3">
      <c r="A22" t="s">
        <v>158</v>
      </c>
      <c r="B22" t="s">
        <v>159</v>
      </c>
      <c r="C22" t="s">
        <v>160</v>
      </c>
      <c r="D22">
        <v>2011</v>
      </c>
      <c r="E22" t="s">
        <v>161</v>
      </c>
      <c r="F22" t="s">
        <v>162</v>
      </c>
      <c r="G22" t="s">
        <v>12</v>
      </c>
    </row>
    <row r="23" spans="1:7" ht="25.2" customHeight="1" x14ac:dyDescent="0.3">
      <c r="A23" t="s">
        <v>163</v>
      </c>
      <c r="B23" t="s">
        <v>164</v>
      </c>
      <c r="C23" t="s">
        <v>165</v>
      </c>
      <c r="D23">
        <v>2022</v>
      </c>
      <c r="E23" t="s">
        <v>93</v>
      </c>
      <c r="F23" t="s">
        <v>162</v>
      </c>
      <c r="G23" t="s">
        <v>12</v>
      </c>
    </row>
    <row r="24" spans="1:7" ht="25.2" customHeight="1" x14ac:dyDescent="0.3">
      <c r="A24" t="s">
        <v>166</v>
      </c>
      <c r="B24" t="s">
        <v>167</v>
      </c>
      <c r="C24" t="s">
        <v>168</v>
      </c>
      <c r="D24">
        <v>2023</v>
      </c>
      <c r="E24" t="s">
        <v>111</v>
      </c>
      <c r="F24" t="s">
        <v>162</v>
      </c>
      <c r="G24" t="s">
        <v>12</v>
      </c>
    </row>
    <row r="25" spans="1:7" ht="25.2" customHeight="1" x14ac:dyDescent="0.3">
      <c r="A25" t="s">
        <v>169</v>
      </c>
      <c r="B25" t="s">
        <v>170</v>
      </c>
      <c r="E25" t="s">
        <v>171</v>
      </c>
      <c r="F25" t="s">
        <v>162</v>
      </c>
      <c r="G25" t="s">
        <v>12</v>
      </c>
    </row>
    <row r="26" spans="1:7" ht="25.2" customHeight="1" x14ac:dyDescent="0.3">
      <c r="A26" t="s">
        <v>172</v>
      </c>
      <c r="B26" t="s">
        <v>173</v>
      </c>
      <c r="E26" t="s">
        <v>174</v>
      </c>
      <c r="F26" t="s">
        <v>162</v>
      </c>
      <c r="G26" t="s">
        <v>12</v>
      </c>
    </row>
    <row r="27" spans="1:7" ht="25.2" customHeight="1" x14ac:dyDescent="0.3">
      <c r="A27" t="s">
        <v>175</v>
      </c>
      <c r="B27" t="s">
        <v>176</v>
      </c>
      <c r="E27" t="s">
        <v>177</v>
      </c>
      <c r="F27" t="s">
        <v>162</v>
      </c>
      <c r="G27" t="s">
        <v>12</v>
      </c>
    </row>
    <row r="28" spans="1:7" ht="25.2" customHeight="1" x14ac:dyDescent="0.3">
      <c r="A28" t="s">
        <v>178</v>
      </c>
      <c r="B28" t="s">
        <v>179</v>
      </c>
      <c r="E28" t="s">
        <v>180</v>
      </c>
      <c r="F28" t="s">
        <v>162</v>
      </c>
      <c r="G28" t="s">
        <v>12</v>
      </c>
    </row>
    <row r="29" spans="1:7" x14ac:dyDescent="0.3">
      <c r="A29" t="s">
        <v>181</v>
      </c>
      <c r="B29" t="s">
        <v>182</v>
      </c>
      <c r="C29" t="s">
        <v>183</v>
      </c>
      <c r="D29">
        <v>2025</v>
      </c>
      <c r="E29" t="s">
        <v>184</v>
      </c>
      <c r="F29" t="s">
        <v>162</v>
      </c>
      <c r="G29" t="s">
        <v>12</v>
      </c>
    </row>
    <row r="30" spans="1:7" x14ac:dyDescent="0.3">
      <c r="A30" t="s">
        <v>185</v>
      </c>
      <c r="B30" t="s">
        <v>186</v>
      </c>
      <c r="E30" t="s">
        <v>171</v>
      </c>
      <c r="F30" t="s">
        <v>162</v>
      </c>
      <c r="G30" t="s">
        <v>12</v>
      </c>
    </row>
    <row r="31" spans="1:7" x14ac:dyDescent="0.3">
      <c r="A31" t="s">
        <v>187</v>
      </c>
      <c r="B31" t="s">
        <v>188</v>
      </c>
      <c r="D31" t="s">
        <v>189</v>
      </c>
      <c r="E31" t="s">
        <v>190</v>
      </c>
      <c r="F31" t="s">
        <v>191</v>
      </c>
      <c r="G31" t="s">
        <v>12</v>
      </c>
    </row>
    <row r="32" spans="1:7" x14ac:dyDescent="0.3">
      <c r="A32" t="s">
        <v>192</v>
      </c>
      <c r="B32" t="s">
        <v>193</v>
      </c>
      <c r="D32">
        <v>2025</v>
      </c>
      <c r="E32" t="s">
        <v>194</v>
      </c>
      <c r="F32" t="s">
        <v>162</v>
      </c>
      <c r="G32" t="s">
        <v>12</v>
      </c>
    </row>
    <row r="33" spans="1:7" x14ac:dyDescent="0.3">
      <c r="A33" t="s">
        <v>195</v>
      </c>
      <c r="B33" t="s">
        <v>196</v>
      </c>
      <c r="D33">
        <v>2024</v>
      </c>
      <c r="E33" t="s">
        <v>197</v>
      </c>
      <c r="F33" t="s">
        <v>162</v>
      </c>
      <c r="G33" t="s">
        <v>94</v>
      </c>
    </row>
    <row r="34" spans="1:7" x14ac:dyDescent="0.3">
      <c r="A34" t="s">
        <v>198</v>
      </c>
      <c r="B34" t="s">
        <v>199</v>
      </c>
      <c r="C34" t="s">
        <v>227</v>
      </c>
      <c r="D34">
        <v>2023</v>
      </c>
      <c r="E34" t="s">
        <v>98</v>
      </c>
      <c r="F34" t="s">
        <v>162</v>
      </c>
      <c r="G34" t="s">
        <v>12</v>
      </c>
    </row>
    <row r="35" spans="1:7" x14ac:dyDescent="0.3">
      <c r="A35" t="s">
        <v>200</v>
      </c>
      <c r="B35" t="s">
        <v>201</v>
      </c>
      <c r="D35">
        <v>2025</v>
      </c>
      <c r="E35" t="s">
        <v>202</v>
      </c>
      <c r="F35" t="s">
        <v>162</v>
      </c>
      <c r="G35" t="s">
        <v>12</v>
      </c>
    </row>
    <row r="36" spans="1:7" s="10" customFormat="1" x14ac:dyDescent="0.3">
      <c r="A36" s="10" t="s">
        <v>203</v>
      </c>
      <c r="B36" s="10" t="s">
        <v>204</v>
      </c>
      <c r="C36" s="10" t="s">
        <v>205</v>
      </c>
      <c r="D36" s="10">
        <v>2025</v>
      </c>
      <c r="E36" s="10" t="s">
        <v>206</v>
      </c>
      <c r="F36" s="10" t="s">
        <v>207</v>
      </c>
      <c r="G36" s="10" t="s">
        <v>12</v>
      </c>
    </row>
    <row r="37" spans="1:7" s="10" customFormat="1" x14ac:dyDescent="0.3">
      <c r="A37" s="10" t="s">
        <v>208</v>
      </c>
      <c r="B37" s="10" t="s">
        <v>209</v>
      </c>
      <c r="C37" s="10" t="s">
        <v>210</v>
      </c>
      <c r="D37" s="10">
        <v>2020</v>
      </c>
      <c r="E37" s="10" t="s">
        <v>206</v>
      </c>
      <c r="F37" s="10" t="s">
        <v>211</v>
      </c>
      <c r="G37" s="10" t="s">
        <v>12</v>
      </c>
    </row>
    <row r="38" spans="1:7" s="10" customFormat="1" x14ac:dyDescent="0.3">
      <c r="A38" s="10" t="s">
        <v>212</v>
      </c>
      <c r="B38" s="10" t="s">
        <v>213</v>
      </c>
      <c r="D38" s="10">
        <v>2025</v>
      </c>
      <c r="E38" s="10" t="s">
        <v>214</v>
      </c>
      <c r="F38" s="10" t="s">
        <v>207</v>
      </c>
      <c r="G38" s="10" t="s">
        <v>12</v>
      </c>
    </row>
    <row r="39" spans="1:7" s="10" customFormat="1" x14ac:dyDescent="0.3">
      <c r="A39" s="10" t="s">
        <v>215</v>
      </c>
      <c r="B39" s="10" t="s">
        <v>216</v>
      </c>
      <c r="D39" s="10">
        <v>2007</v>
      </c>
      <c r="E39" s="10" t="s">
        <v>217</v>
      </c>
      <c r="F39" s="10" t="s">
        <v>207</v>
      </c>
      <c r="G39" s="10" t="s">
        <v>12</v>
      </c>
    </row>
    <row r="40" spans="1:7" s="10" customFormat="1" x14ac:dyDescent="0.3">
      <c r="A40" s="10" t="s">
        <v>218</v>
      </c>
      <c r="B40" s="10" t="s">
        <v>219</v>
      </c>
      <c r="D40" s="10">
        <v>2020</v>
      </c>
      <c r="E40" s="10" t="s">
        <v>220</v>
      </c>
      <c r="F40" s="10" t="s">
        <v>221</v>
      </c>
      <c r="G40" s="10" t="s">
        <v>12</v>
      </c>
    </row>
    <row r="41" spans="1:7" s="10" customFormat="1" x14ac:dyDescent="0.3">
      <c r="A41" s="10" t="s">
        <v>222</v>
      </c>
      <c r="B41" s="10" t="s">
        <v>223</v>
      </c>
      <c r="D41" s="10">
        <v>2023</v>
      </c>
      <c r="E41" s="10" t="s">
        <v>224</v>
      </c>
      <c r="F41" s="10" t="s">
        <v>207</v>
      </c>
      <c r="G41" s="10" t="s">
        <v>12</v>
      </c>
    </row>
  </sheetData>
  <phoneticPr fontId="7" type="noConversion"/>
  <dataValidations disablePrompts="1" count="2">
    <dataValidation type="list" allowBlank="1" sqref="G16:G499" xr:uid="{00000000-0002-0000-0000-000000000000}">
      <formula1>"Y,N"</formula1>
      <formula2>0</formula2>
    </dataValidation>
    <dataValidation type="list" allowBlank="1" sqref="F16:F499" xr:uid="{00000000-0002-0000-0000-000001000000}">
      <formula1>"Pb,Cd,MB,Congo Red,Pb;Cd,MB;Congo 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zoomScaleNormal="100" workbookViewId="0">
      <pane ySplit="1" topLeftCell="A20" activePane="bottomLeft" state="frozen"/>
      <selection pane="bottomLeft" activeCell="B32" sqref="B32"/>
    </sheetView>
  </sheetViews>
  <sheetFormatPr defaultColWidth="8.6640625" defaultRowHeight="14.4" x14ac:dyDescent="0.3"/>
  <cols>
    <col min="1" max="1" width="22" customWidth="1"/>
    <col min="2" max="2" width="20" customWidth="1"/>
    <col min="3" max="3" width="8" customWidth="1"/>
    <col min="4" max="4" width="45" customWidth="1"/>
    <col min="5" max="5" width="40" customWidth="1"/>
  </cols>
  <sheetData>
    <row r="1" spans="1:5" ht="30" customHeight="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27.75" customHeight="1" x14ac:dyDescent="0.3">
      <c r="A2" s="4" t="s">
        <v>0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ht="27.75" customHeight="1" x14ac:dyDescent="0.3">
      <c r="A3" s="4" t="s">
        <v>1</v>
      </c>
      <c r="B3" s="4" t="s">
        <v>37</v>
      </c>
      <c r="C3" s="4" t="s">
        <v>34</v>
      </c>
      <c r="D3" s="4" t="s">
        <v>38</v>
      </c>
      <c r="E3" s="4"/>
    </row>
    <row r="4" spans="1:5" ht="27.75" customHeight="1" x14ac:dyDescent="0.3">
      <c r="A4" s="4" t="s">
        <v>2</v>
      </c>
      <c r="B4" s="4" t="s">
        <v>37</v>
      </c>
      <c r="C4" s="4" t="s">
        <v>34</v>
      </c>
      <c r="D4" s="4" t="s">
        <v>39</v>
      </c>
      <c r="E4" s="4"/>
    </row>
    <row r="5" spans="1:5" ht="27.75" customHeight="1" x14ac:dyDescent="0.3">
      <c r="A5" s="4" t="s">
        <v>3</v>
      </c>
      <c r="B5" s="4" t="s">
        <v>37</v>
      </c>
      <c r="C5" s="4" t="s">
        <v>34</v>
      </c>
      <c r="D5" s="4" t="s">
        <v>40</v>
      </c>
      <c r="E5" s="4"/>
    </row>
    <row r="6" spans="1:5" ht="27.75" customHeight="1" x14ac:dyDescent="0.3">
      <c r="A6" s="4" t="s">
        <v>4</v>
      </c>
      <c r="B6" s="4" t="s">
        <v>37</v>
      </c>
      <c r="C6" s="4" t="s">
        <v>34</v>
      </c>
      <c r="D6" s="4" t="s">
        <v>41</v>
      </c>
      <c r="E6" s="4"/>
    </row>
    <row r="7" spans="1:5" ht="27.75" customHeight="1" x14ac:dyDescent="0.3">
      <c r="A7" s="4" t="s">
        <v>5</v>
      </c>
      <c r="B7" s="4" t="s">
        <v>37</v>
      </c>
      <c r="C7" s="4" t="s">
        <v>34</v>
      </c>
      <c r="D7" s="4" t="s">
        <v>42</v>
      </c>
      <c r="E7" s="4"/>
    </row>
    <row r="8" spans="1:5" ht="27.75" customHeight="1" x14ac:dyDescent="0.3">
      <c r="A8" s="4" t="s">
        <v>6</v>
      </c>
      <c r="B8" s="4" t="s">
        <v>37</v>
      </c>
      <c r="C8" s="4" t="s">
        <v>34</v>
      </c>
      <c r="D8" s="4" t="s">
        <v>43</v>
      </c>
      <c r="E8" s="4"/>
    </row>
    <row r="9" spans="1:5" ht="27.75" customHeight="1" x14ac:dyDescent="0.3">
      <c r="A9" s="4" t="s">
        <v>7</v>
      </c>
      <c r="B9" s="4" t="s">
        <v>37</v>
      </c>
      <c r="C9" s="4" t="s">
        <v>34</v>
      </c>
      <c r="D9" s="4" t="s">
        <v>44</v>
      </c>
      <c r="E9" s="4" t="s">
        <v>45</v>
      </c>
    </row>
    <row r="10" spans="1:5" ht="27.75" customHeight="1" x14ac:dyDescent="0.3">
      <c r="A10" s="4" t="s">
        <v>8</v>
      </c>
      <c r="B10" s="4" t="s">
        <v>37</v>
      </c>
      <c r="C10" s="4" t="s">
        <v>34</v>
      </c>
      <c r="D10" s="4" t="s">
        <v>46</v>
      </c>
      <c r="E10" s="4" t="s">
        <v>47</v>
      </c>
    </row>
    <row r="11" spans="1:5" ht="27.75" customHeight="1" x14ac:dyDescent="0.3">
      <c r="A11" s="4" t="s">
        <v>9</v>
      </c>
      <c r="B11" s="4" t="s">
        <v>37</v>
      </c>
      <c r="C11" s="4" t="s">
        <v>34</v>
      </c>
      <c r="D11" s="4" t="s">
        <v>48</v>
      </c>
      <c r="E11" s="4" t="s">
        <v>49</v>
      </c>
    </row>
    <row r="12" spans="1:5" ht="27.75" customHeight="1" x14ac:dyDescent="0.3">
      <c r="A12" s="4" t="s">
        <v>14</v>
      </c>
      <c r="B12" s="4" t="s">
        <v>50</v>
      </c>
      <c r="C12" s="4" t="s">
        <v>34</v>
      </c>
      <c r="D12" s="4" t="s">
        <v>51</v>
      </c>
      <c r="E12" s="4" t="s">
        <v>45</v>
      </c>
    </row>
    <row r="13" spans="1:5" ht="27.75" customHeight="1" x14ac:dyDescent="0.3">
      <c r="A13" s="4" t="s">
        <v>15</v>
      </c>
      <c r="B13" s="4" t="s">
        <v>50</v>
      </c>
      <c r="C13" s="4" t="s">
        <v>34</v>
      </c>
      <c r="D13" s="4" t="s">
        <v>52</v>
      </c>
      <c r="E13" s="4" t="s">
        <v>53</v>
      </c>
    </row>
    <row r="14" spans="1:5" ht="27.75" customHeight="1" x14ac:dyDescent="0.3">
      <c r="A14" s="4" t="s">
        <v>16</v>
      </c>
      <c r="B14" s="4" t="s">
        <v>50</v>
      </c>
      <c r="C14" s="4" t="s">
        <v>54</v>
      </c>
      <c r="D14" s="4" t="s">
        <v>55</v>
      </c>
      <c r="E14" s="4" t="s">
        <v>56</v>
      </c>
    </row>
    <row r="15" spans="1:5" ht="27.75" customHeight="1" x14ac:dyDescent="0.3">
      <c r="A15" s="4" t="s">
        <v>17</v>
      </c>
      <c r="B15" s="4" t="s">
        <v>50</v>
      </c>
      <c r="C15" s="4" t="s">
        <v>57</v>
      </c>
      <c r="D15" s="4" t="s">
        <v>58</v>
      </c>
      <c r="E15" s="4" t="s">
        <v>56</v>
      </c>
    </row>
    <row r="16" spans="1:5" ht="27.75" customHeight="1" x14ac:dyDescent="0.3">
      <c r="A16" s="4" t="s">
        <v>18</v>
      </c>
      <c r="B16" s="4" t="s">
        <v>50</v>
      </c>
      <c r="C16" s="4" t="s">
        <v>34</v>
      </c>
      <c r="D16" s="4" t="s">
        <v>59</v>
      </c>
      <c r="E16" s="4" t="s">
        <v>56</v>
      </c>
    </row>
    <row r="17" spans="1:5" ht="27.75" customHeight="1" x14ac:dyDescent="0.3">
      <c r="A17" s="4" t="s">
        <v>60</v>
      </c>
      <c r="B17" s="4" t="s">
        <v>50</v>
      </c>
      <c r="C17" s="4" t="s">
        <v>61</v>
      </c>
      <c r="D17" s="4" t="s">
        <v>62</v>
      </c>
      <c r="E17" s="4" t="s">
        <v>63</v>
      </c>
    </row>
    <row r="18" spans="1:5" ht="27.75" customHeight="1" x14ac:dyDescent="0.3">
      <c r="A18" s="4" t="s">
        <v>19</v>
      </c>
      <c r="B18" s="4" t="s">
        <v>50</v>
      </c>
      <c r="C18" s="4" t="s">
        <v>64</v>
      </c>
      <c r="D18" s="4" t="s">
        <v>65</v>
      </c>
      <c r="E18" s="4"/>
    </row>
    <row r="19" spans="1:5" ht="27.75" customHeight="1" x14ac:dyDescent="0.3">
      <c r="A19" s="4" t="s">
        <v>20</v>
      </c>
      <c r="B19" s="4" t="s">
        <v>50</v>
      </c>
      <c r="C19" s="4" t="s">
        <v>34</v>
      </c>
      <c r="D19" s="4" t="s">
        <v>66</v>
      </c>
      <c r="E19" s="4"/>
    </row>
    <row r="20" spans="1:5" ht="27.75" customHeight="1" x14ac:dyDescent="0.3">
      <c r="A20" s="4" t="s">
        <v>21</v>
      </c>
      <c r="B20" s="4" t="s">
        <v>50</v>
      </c>
      <c r="C20" s="4" t="s">
        <v>67</v>
      </c>
      <c r="D20" s="4" t="s">
        <v>68</v>
      </c>
      <c r="E20" s="4"/>
    </row>
    <row r="21" spans="1:5" ht="27.75" customHeight="1" x14ac:dyDescent="0.3">
      <c r="A21" s="4" t="s">
        <v>22</v>
      </c>
      <c r="B21" s="4" t="s">
        <v>50</v>
      </c>
      <c r="C21" s="4" t="s">
        <v>69</v>
      </c>
      <c r="D21" s="4" t="s">
        <v>70</v>
      </c>
      <c r="E21" s="4"/>
    </row>
    <row r="22" spans="1:5" ht="27.75" customHeight="1" x14ac:dyDescent="0.3">
      <c r="A22" s="4" t="s">
        <v>23</v>
      </c>
      <c r="B22" s="4" t="s">
        <v>50</v>
      </c>
      <c r="C22" s="4" t="s">
        <v>71</v>
      </c>
      <c r="D22" s="4" t="s">
        <v>72</v>
      </c>
      <c r="E22" s="4" t="s">
        <v>73</v>
      </c>
    </row>
    <row r="23" spans="1:5" ht="27.75" customHeight="1" x14ac:dyDescent="0.3">
      <c r="A23" s="4" t="s">
        <v>24</v>
      </c>
      <c r="B23" s="4" t="s">
        <v>50</v>
      </c>
      <c r="C23" s="4" t="s">
        <v>64</v>
      </c>
      <c r="D23" s="4" t="s">
        <v>74</v>
      </c>
      <c r="E23" s="4" t="s">
        <v>75</v>
      </c>
    </row>
    <row r="24" spans="1:5" ht="27.75" customHeight="1" x14ac:dyDescent="0.3">
      <c r="A24" s="4" t="s">
        <v>25</v>
      </c>
      <c r="B24" s="4" t="s">
        <v>50</v>
      </c>
      <c r="C24" s="4" t="s">
        <v>76</v>
      </c>
      <c r="D24" s="4" t="s">
        <v>77</v>
      </c>
      <c r="E24" s="4"/>
    </row>
    <row r="25" spans="1:5" ht="27.75" customHeight="1" x14ac:dyDescent="0.3">
      <c r="A25" s="4" t="s">
        <v>26</v>
      </c>
      <c r="B25" s="4" t="s">
        <v>50</v>
      </c>
      <c r="C25" s="4" t="s">
        <v>34</v>
      </c>
      <c r="D25" s="4" t="s">
        <v>78</v>
      </c>
      <c r="E25" s="4" t="s">
        <v>79</v>
      </c>
    </row>
    <row r="26" spans="1:5" ht="27.75" customHeight="1" x14ac:dyDescent="0.3">
      <c r="A26" s="4" t="s">
        <v>27</v>
      </c>
      <c r="B26" s="4" t="s">
        <v>50</v>
      </c>
      <c r="C26" s="4" t="s">
        <v>34</v>
      </c>
      <c r="D26" s="4" t="s">
        <v>80</v>
      </c>
      <c r="E26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 Master List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Agrawal</cp:lastModifiedBy>
  <cp:revision>0</cp:revision>
  <dcterms:created xsi:type="dcterms:W3CDTF">2026-08-30T16:51:48Z</dcterms:created>
  <dcterms:modified xsi:type="dcterms:W3CDTF">2026-10-12T22:10:23Z</dcterms:modified>
  <dc:language>en-US</dc:language>
</cp:coreProperties>
</file>